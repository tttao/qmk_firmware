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vmsys64\home\fabri\qmk_firmware\keyboards\ergodox_ez\keymaps\fab_v2\tools\"/>
    </mc:Choice>
  </mc:AlternateContent>
  <xr:revisionPtr revIDLastSave="0" documentId="13_ncr:1_{FC0FBFC9-A188-4965-9C92-A76B768868D0}" xr6:coauthVersionLast="45" xr6:coauthVersionMax="45" xr10:uidLastSave="{00000000-0000-0000-0000-000000000000}"/>
  <bookViews>
    <workbookView xWindow="-120" yWindow="-120" windowWidth="29040" windowHeight="15840" xr2:uid="{3EEA2E78-E70B-474B-9DAC-75E16FFC0955}"/>
  </bookViews>
  <sheets>
    <sheet name="LAYOUT" sheetId="1" r:id="rId1"/>
    <sheet name="AZERTY REF" sheetId="2" r:id="rId2"/>
  </sheets>
  <definedNames>
    <definedName name="OUTPUT_FILE">LAYOUT!$R$2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2" l="1"/>
  <c r="G4" i="2"/>
  <c r="G5" i="2"/>
  <c r="G6" i="2"/>
  <c r="G7" i="2"/>
  <c r="G8" i="2"/>
  <c r="G9" i="2"/>
  <c r="G10" i="2"/>
  <c r="G11" i="2"/>
  <c r="G12" i="2"/>
  <c r="G13" i="2"/>
  <c r="G14" i="2"/>
  <c r="G16" i="2"/>
  <c r="G17" i="2"/>
  <c r="G18" i="2"/>
  <c r="G19" i="2"/>
  <c r="G20" i="2"/>
  <c r="G21" i="2"/>
  <c r="G22" i="2"/>
  <c r="G23" i="2"/>
  <c r="G24" i="2"/>
  <c r="G25" i="2"/>
  <c r="G26" i="2"/>
  <c r="G27" i="2"/>
  <c r="G29" i="2"/>
  <c r="G30" i="2"/>
  <c r="G31" i="2"/>
  <c r="G32" i="2"/>
  <c r="G33" i="2"/>
  <c r="G34" i="2"/>
  <c r="G35" i="2"/>
  <c r="G36" i="2"/>
  <c r="G37" i="2"/>
  <c r="G38" i="2"/>
  <c r="G39" i="2"/>
  <c r="G40" i="2"/>
  <c r="G42" i="2"/>
  <c r="G43" i="2"/>
  <c r="G44" i="2"/>
  <c r="G45" i="2"/>
  <c r="G46" i="2"/>
  <c r="G47" i="2"/>
  <c r="G48" i="2"/>
  <c r="G49" i="2"/>
  <c r="G50" i="2"/>
  <c r="G51" i="2"/>
  <c r="G52" i="2"/>
  <c r="G2" i="2"/>
  <c r="F3" i="2"/>
  <c r="H3" i="2" s="1"/>
  <c r="F4" i="2"/>
  <c r="H4" i="2" s="1"/>
  <c r="F5" i="2"/>
  <c r="H5" i="2" s="1"/>
  <c r="F6" i="2"/>
  <c r="H6" i="2" s="1"/>
  <c r="F7" i="2"/>
  <c r="H7" i="2" s="1"/>
  <c r="F8" i="2"/>
  <c r="H8" i="2" s="1"/>
  <c r="F9" i="2"/>
  <c r="H9" i="2" s="1"/>
  <c r="F10" i="2"/>
  <c r="H10" i="2" s="1"/>
  <c r="F11" i="2"/>
  <c r="H11" i="2" s="1"/>
  <c r="F12" i="2"/>
  <c r="H12" i="2" s="1"/>
  <c r="F13" i="2"/>
  <c r="H13" i="2" s="1"/>
  <c r="F14" i="2"/>
  <c r="H14" i="2" s="1"/>
  <c r="F16" i="2"/>
  <c r="H16" i="2" s="1"/>
  <c r="F17" i="2"/>
  <c r="H17" i="2" s="1"/>
  <c r="F18" i="2"/>
  <c r="H18" i="2" s="1"/>
  <c r="F19" i="2"/>
  <c r="F20" i="2"/>
  <c r="H20" i="2" s="1"/>
  <c r="F21" i="2"/>
  <c r="H21" i="2" s="1"/>
  <c r="F22" i="2"/>
  <c r="H22" i="2" s="1"/>
  <c r="F23" i="2"/>
  <c r="H23" i="2" s="1"/>
  <c r="F24" i="2"/>
  <c r="H24" i="2" s="1"/>
  <c r="F25" i="2"/>
  <c r="H25" i="2" s="1"/>
  <c r="F26" i="2"/>
  <c r="H26" i="2" s="1"/>
  <c r="F27" i="2"/>
  <c r="H27" i="2" s="1"/>
  <c r="F29" i="2"/>
  <c r="H29" i="2" s="1"/>
  <c r="F30" i="2"/>
  <c r="H30" i="2" s="1"/>
  <c r="F31" i="2"/>
  <c r="H31" i="2" s="1"/>
  <c r="F32" i="2"/>
  <c r="H32" i="2" s="1"/>
  <c r="F33" i="2"/>
  <c r="H33" i="2" s="1"/>
  <c r="F34" i="2"/>
  <c r="H34" i="2" s="1"/>
  <c r="F35" i="2"/>
  <c r="H35" i="2" s="1"/>
  <c r="F36" i="2"/>
  <c r="H36" i="2" s="1"/>
  <c r="F37" i="2"/>
  <c r="H37" i="2" s="1"/>
  <c r="F38" i="2"/>
  <c r="H38" i="2" s="1"/>
  <c r="F39" i="2"/>
  <c r="H39" i="2" s="1"/>
  <c r="F40" i="2"/>
  <c r="H40" i="2" s="1"/>
  <c r="F42" i="2"/>
  <c r="H42" i="2" s="1"/>
  <c r="F43" i="2"/>
  <c r="F44" i="2"/>
  <c r="F45" i="2"/>
  <c r="F46" i="2"/>
  <c r="H46" i="2" s="1"/>
  <c r="F47" i="2"/>
  <c r="H47" i="2" s="1"/>
  <c r="F48" i="2"/>
  <c r="H48" i="2" s="1"/>
  <c r="F49" i="2"/>
  <c r="H49" i="2" s="1"/>
  <c r="F50" i="2"/>
  <c r="H50" i="2" s="1"/>
  <c r="F51" i="2"/>
  <c r="H51" i="2" s="1"/>
  <c r="F52" i="2"/>
  <c r="H52" i="2" s="1"/>
  <c r="F2" i="2"/>
  <c r="H2" i="2" s="1"/>
  <c r="H19" i="2" l="1"/>
  <c r="H45" i="2"/>
  <c r="H44" i="2"/>
  <c r="H43" i="2"/>
</calcChain>
</file>

<file path=xl/sharedStrings.xml><?xml version="1.0" encoding="utf-8"?>
<sst xmlns="http://schemas.openxmlformats.org/spreadsheetml/2006/main" count="477" uniqueCount="232">
  <si>
    <t>KC_ESC</t>
  </si>
  <si>
    <t>FR_AMPR</t>
  </si>
  <si>
    <t>FR_EACU</t>
  </si>
  <si>
    <t>FR_DQUO</t>
  </si>
  <si>
    <t>FR_QUOT</t>
  </si>
  <si>
    <t>FR_LPRN</t>
  </si>
  <si>
    <t>KC_INS</t>
  </si>
  <si>
    <t>KC_DEL</t>
  </si>
  <si>
    <t>FR_MINS</t>
  </si>
  <si>
    <t>FR_EGRV</t>
  </si>
  <si>
    <t>FR_UNDS</t>
  </si>
  <si>
    <t>FR_CCED</t>
  </si>
  <si>
    <t>FR_AGRV</t>
  </si>
  <si>
    <t>FR_CIRC</t>
  </si>
  <si>
    <t>KC_TAB</t>
  </si>
  <si>
    <t>FR_A</t>
  </si>
  <si>
    <t>FR_Z</t>
  </si>
  <si>
    <t>KC_E</t>
  </si>
  <si>
    <t>KC_R</t>
  </si>
  <si>
    <t>KC_T</t>
  </si>
  <si>
    <t>KC_Y</t>
  </si>
  <si>
    <t>TD(TD_U)</t>
  </si>
  <si>
    <t>KC_I</t>
  </si>
  <si>
    <t>KC_O</t>
  </si>
  <si>
    <t>KC_P</t>
  </si>
  <si>
    <t>FR_DLR</t>
  </si>
  <si>
    <t>FR_Q</t>
  </si>
  <si>
    <t>KC_S</t>
  </si>
  <si>
    <t>KC_D</t>
  </si>
  <si>
    <t>KC_F</t>
  </si>
  <si>
    <t>KC_G</t>
  </si>
  <si>
    <t>KC_H</t>
  </si>
  <si>
    <t>KC_J</t>
  </si>
  <si>
    <t>KC_K</t>
  </si>
  <si>
    <t>KC_L</t>
  </si>
  <si>
    <t>FR_M</t>
  </si>
  <si>
    <t>FR_W</t>
  </si>
  <si>
    <t>KC_X</t>
  </si>
  <si>
    <t>KC_C</t>
  </si>
  <si>
    <t>KC_V</t>
  </si>
  <si>
    <t>KC_B</t>
  </si>
  <si>
    <t>KC_TRNS</t>
  </si>
  <si>
    <t>KC_N</t>
  </si>
  <si>
    <t>FR_COMM</t>
  </si>
  <si>
    <t>FR_SCLN</t>
  </si>
  <si>
    <t>FR_COLN</t>
  </si>
  <si>
    <t>KC_UP</t>
  </si>
  <si>
    <t>KC_LCTL</t>
  </si>
  <si>
    <t>KC_LGUI</t>
  </si>
  <si>
    <t>KC_LALT</t>
  </si>
  <si>
    <t>FR_EXLM</t>
  </si>
  <si>
    <t>MO(SYMB)</t>
  </si>
  <si>
    <t>KC_RALT</t>
  </si>
  <si>
    <t>KC_RCTRL</t>
  </si>
  <si>
    <t>KC_LEFT</t>
  </si>
  <si>
    <t>KC_DOWN</t>
  </si>
  <si>
    <t>KC_RIGHT</t>
  </si>
  <si>
    <t>FR_EQL</t>
  </si>
  <si>
    <t>FR_SLSH</t>
  </si>
  <si>
    <t>FR_RABK</t>
  </si>
  <si>
    <t>KC_HOME</t>
  </si>
  <si>
    <t>KC_SPC</t>
  </si>
  <si>
    <t>KC_BSPC</t>
  </si>
  <si>
    <t>FR_LABK</t>
  </si>
  <si>
    <t>KC_END</t>
  </si>
  <si>
    <t>KC_ENT</t>
  </si>
  <si>
    <t>MT(MOD_LSFT,FR_LPRN)</t>
  </si>
  <si>
    <t>MT(MOD_RSFT,FR_RPRN)</t>
  </si>
  <si>
    <t>LAYER BASE</t>
  </si>
  <si>
    <t>LAYER SYMB</t>
  </si>
  <si>
    <t xml:space="preserve">	KC_F1</t>
  </si>
  <si>
    <t>KC_F2</t>
  </si>
  <si>
    <t>KC_F3</t>
  </si>
  <si>
    <t>KC_F4</t>
  </si>
  <si>
    <t>KC_F5</t>
  </si>
  <si>
    <t>KC_F6</t>
  </si>
  <si>
    <t>KC_F7</t>
  </si>
  <si>
    <t>KC_F8</t>
  </si>
  <si>
    <t>KC_F9</t>
  </si>
  <si>
    <t>KC_F10</t>
  </si>
  <si>
    <t>KC_F11</t>
  </si>
  <si>
    <t>TD(TD_A)</t>
  </si>
  <si>
    <t>FR_LBRC</t>
  </si>
  <si>
    <t>KC_KP_7</t>
  </si>
  <si>
    <t>KC_KP_8</t>
  </si>
  <si>
    <t>KC_KP_9</t>
  </si>
  <si>
    <t>FR_ASTR</t>
  </si>
  <si>
    <t>KC_F12</t>
  </si>
  <si>
    <t>FR_LCBR</t>
  </si>
  <si>
    <t>FR_RCBR</t>
  </si>
  <si>
    <t>FR_RBRC</t>
  </si>
  <si>
    <t>FR_PIPE</t>
  </si>
  <si>
    <t>FR_GRV</t>
  </si>
  <si>
    <t>KC_KP_4</t>
  </si>
  <si>
    <t>KC_KP_5</t>
  </si>
  <si>
    <t>KC_KP_6</t>
  </si>
  <si>
    <t>KC_PLUS</t>
  </si>
  <si>
    <t>FR_PERC</t>
  </si>
  <si>
    <t>FR_HASH</t>
  </si>
  <si>
    <t>FR_TILD</t>
  </si>
  <si>
    <t>KC_KP_1</t>
  </si>
  <si>
    <t>KC_KP_2</t>
  </si>
  <si>
    <t>KC_KP_3</t>
  </si>
  <si>
    <t>KC_KP_0</t>
  </si>
  <si>
    <t>KC_EQL</t>
  </si>
  <si>
    <t>LAYER MEDIA</t>
  </si>
  <si>
    <t>RESET</t>
  </si>
  <si>
    <t>Output File</t>
  </si>
  <si>
    <t>C:\Dev\vmsys64\home\fabri\qmk_firmware\keyboards\ergodox_ez\keymaps\fab_v2\keymap.inc</t>
  </si>
  <si>
    <t>FR_SUP2</t>
  </si>
  <si>
    <t>FR_RPRN</t>
  </si>
  <si>
    <t>FR_E</t>
  </si>
  <si>
    <t>FR_R</t>
  </si>
  <si>
    <t>FR_T</t>
  </si>
  <si>
    <t>FR_Y</t>
  </si>
  <si>
    <t>FR_U</t>
  </si>
  <si>
    <t>FR_I</t>
  </si>
  <si>
    <t>FR_O</t>
  </si>
  <si>
    <t>FR_P</t>
  </si>
  <si>
    <t>// Row 1</t>
  </si>
  <si>
    <t>// Row 2</t>
  </si>
  <si>
    <t>// Row 3</t>
  </si>
  <si>
    <t>// Row 4</t>
  </si>
  <si>
    <t>#define</t>
  </si>
  <si>
    <t>KC_GRV</t>
  </si>
  <si>
    <t>//</t>
  </si>
  <si>
    <t>²</t>
  </si>
  <si>
    <t>KC_1</t>
  </si>
  <si>
    <t>&amp;</t>
  </si>
  <si>
    <t>KC_2</t>
  </si>
  <si>
    <t>é</t>
  </si>
  <si>
    <t>KC_3</t>
  </si>
  <si>
    <t>"</t>
  </si>
  <si>
    <t>KC_4</t>
  </si>
  <si>
    <t>'</t>
  </si>
  <si>
    <t>KC_5</t>
  </si>
  <si>
    <t>(</t>
  </si>
  <si>
    <t>KC_6</t>
  </si>
  <si>
    <t>-</t>
  </si>
  <si>
    <t>KC_7</t>
  </si>
  <si>
    <t>è</t>
  </si>
  <si>
    <t>KC_8</t>
  </si>
  <si>
    <t>_</t>
  </si>
  <si>
    <t>KC_9</t>
  </si>
  <si>
    <t>ç</t>
  </si>
  <si>
    <t>KC_0</t>
  </si>
  <si>
    <t>à</t>
  </si>
  <si>
    <t>KC_MINS</t>
  </si>
  <si>
    <t>)</t>
  </si>
  <si>
    <t>=</t>
  </si>
  <si>
    <t>KC_Q</t>
  </si>
  <si>
    <t>A</t>
  </si>
  <si>
    <t>KC_W</t>
  </si>
  <si>
    <t>Z</t>
  </si>
  <si>
    <t>E</t>
  </si>
  <si>
    <t>R</t>
  </si>
  <si>
    <t>T</t>
  </si>
  <si>
    <t>Y</t>
  </si>
  <si>
    <t>KC_U</t>
  </si>
  <si>
    <t>U</t>
  </si>
  <si>
    <t>I</t>
  </si>
  <si>
    <t>O</t>
  </si>
  <si>
    <t>P</t>
  </si>
  <si>
    <t>KC_LBRC</t>
  </si>
  <si>
    <t>^ (dead)</t>
  </si>
  <si>
    <t>KC_RBRC</t>
  </si>
  <si>
    <t>$</t>
  </si>
  <si>
    <t>KC_A</t>
  </si>
  <si>
    <t>Q</t>
  </si>
  <si>
    <t>FR_S</t>
  </si>
  <si>
    <t>S</t>
  </si>
  <si>
    <t>FR_D</t>
  </si>
  <si>
    <t>D</t>
  </si>
  <si>
    <t>FR_F</t>
  </si>
  <si>
    <t>F</t>
  </si>
  <si>
    <t>FR_G</t>
  </si>
  <si>
    <t>G</t>
  </si>
  <si>
    <t>FR_H</t>
  </si>
  <si>
    <t>H</t>
  </si>
  <si>
    <t>FR_J</t>
  </si>
  <si>
    <t>J</t>
  </si>
  <si>
    <t>FR_K</t>
  </si>
  <si>
    <t>K</t>
  </si>
  <si>
    <t>FR_L</t>
  </si>
  <si>
    <t>L</t>
  </si>
  <si>
    <t>KC_SCLN</t>
  </si>
  <si>
    <t>M</t>
  </si>
  <si>
    <t>FR_UGRV</t>
  </si>
  <si>
    <t>KC_QUOT</t>
  </si>
  <si>
    <t>ù</t>
  </si>
  <si>
    <t>KC_NUHS</t>
  </si>
  <si>
    <t>*</t>
  </si>
  <si>
    <t>KC_NUBS</t>
  </si>
  <si>
    <t>&lt;</t>
  </si>
  <si>
    <t>KC_Z</t>
  </si>
  <si>
    <t>W</t>
  </si>
  <si>
    <t>FR_X</t>
  </si>
  <si>
    <t>X</t>
  </si>
  <si>
    <t>FR_C</t>
  </si>
  <si>
    <t>C</t>
  </si>
  <si>
    <t>FR_V</t>
  </si>
  <si>
    <t>V</t>
  </si>
  <si>
    <t>FR_B</t>
  </si>
  <si>
    <t>B</t>
  </si>
  <si>
    <t>FR_N</t>
  </si>
  <si>
    <t>N</t>
  </si>
  <si>
    <t>KC_M</t>
  </si>
  <si>
    <t>,</t>
  </si>
  <si>
    <t>KC_COMM</t>
  </si>
  <si>
    <t>;</t>
  </si>
  <si>
    <t>KC_DOT</t>
  </si>
  <si>
    <t>:</t>
  </si>
  <si>
    <t>KC_SLSH</t>
  </si>
  <si>
    <t>!</t>
  </si>
  <si>
    <t>TG(MEDIA)</t>
  </si>
  <si>
    <t>KC_MS_UP</t>
  </si>
  <si>
    <t>KC_MS_DOWN</t>
  </si>
  <si>
    <t>KC_MS_LEFT</t>
  </si>
  <si>
    <t>KC_MS_RIGHT</t>
  </si>
  <si>
    <t>KC_MS_BTN1</t>
  </si>
  <si>
    <t>KC_MS_BTN2</t>
  </si>
  <si>
    <t>FR_DOT</t>
  </si>
  <si>
    <t>A(KC_F4)</t>
  </si>
  <si>
    <t>C(KC_F4)</t>
  </si>
  <si>
    <t>FR_BSLS</t>
  </si>
  <si>
    <t>KC_KP_ASTERISK</t>
  </si>
  <si>
    <t>KC_KP_SLASH</t>
  </si>
  <si>
    <t>KC_KP_MINUS</t>
  </si>
  <si>
    <t>KC_KP_ENTER</t>
  </si>
  <si>
    <t>DM_REC1</t>
  </si>
  <si>
    <t>DM_RSTP</t>
  </si>
  <si>
    <t>DM_PLY1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</si>
</sst>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4" xfId="0" applyFill="1" applyBorder="1"/>
  </cellXfs>
  <cellStyles count="1">
    <cellStyle name="Normal" xfId="0" builtinId="0"/>
  </cellStyles>
  <dxfs count="38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lightUp"/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47625</xdr:colOff>
          <xdr:row>4</xdr:row>
          <xdr:rowOff>66675</xdr:rowOff>
        </xdr:from>
        <xdr:to>
          <xdr:col>17</xdr:col>
          <xdr:colOff>619125</xdr:colOff>
          <xdr:row>5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source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140F2-9A5A-4AA2-AFC9-3179F4A850BD}">
  <sheetPr codeName="Feuil1"/>
  <dimension ref="A1:R100"/>
  <sheetViews>
    <sheetView tabSelected="1" workbookViewId="0">
      <selection activeCell="H12" sqref="H12"/>
    </sheetView>
  </sheetViews>
  <sheetFormatPr baseColWidth="10" defaultRowHeight="15" x14ac:dyDescent="0.25"/>
  <cols>
    <col min="1" max="1" width="24.5703125" customWidth="1"/>
    <col min="2" max="7" width="13.28515625" customWidth="1"/>
    <col min="9" max="15" width="13.28515625" customWidth="1"/>
    <col min="16" max="16" width="14" bestFit="1" customWidth="1"/>
    <col min="17" max="17" width="26.85546875" customWidth="1"/>
  </cols>
  <sheetData>
    <row r="1" spans="1:18" x14ac:dyDescent="0.25">
      <c r="A1" s="1" t="s">
        <v>68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</row>
    <row r="2" spans="1:18" x14ac:dyDescent="0.25">
      <c r="A2" s="3" t="s">
        <v>0</v>
      </c>
      <c r="B2" s="3" t="s">
        <v>1</v>
      </c>
      <c r="C2" s="3" t="s">
        <v>2</v>
      </c>
      <c r="D2" s="3" t="s">
        <v>3</v>
      </c>
      <c r="E2" s="3" t="s">
        <v>4</v>
      </c>
      <c r="F2" s="3" t="s">
        <v>5</v>
      </c>
      <c r="G2" s="3" t="s">
        <v>6</v>
      </c>
      <c r="H2" s="2"/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62</v>
      </c>
      <c r="Q2" s="7" t="s">
        <v>107</v>
      </c>
      <c r="R2" s="7" t="s">
        <v>108</v>
      </c>
    </row>
    <row r="3" spans="1:18" x14ac:dyDescent="0.25">
      <c r="A3" s="3" t="s">
        <v>14</v>
      </c>
      <c r="B3" s="3" t="s">
        <v>15</v>
      </c>
      <c r="C3" s="3" t="s">
        <v>16</v>
      </c>
      <c r="D3" s="3" t="s">
        <v>17</v>
      </c>
      <c r="E3" s="3" t="s">
        <v>18</v>
      </c>
      <c r="F3" s="3" t="s">
        <v>19</v>
      </c>
      <c r="G3" s="3" t="s">
        <v>75</v>
      </c>
      <c r="H3" s="2"/>
      <c r="I3" s="3" t="s">
        <v>222</v>
      </c>
      <c r="J3" s="3" t="s">
        <v>20</v>
      </c>
      <c r="K3" s="3" t="s">
        <v>21</v>
      </c>
      <c r="L3" s="3" t="s">
        <v>22</v>
      </c>
      <c r="M3" s="3" t="s">
        <v>23</v>
      </c>
      <c r="N3" s="3" t="s">
        <v>24</v>
      </c>
      <c r="O3" s="3" t="s">
        <v>41</v>
      </c>
    </row>
    <row r="4" spans="1:18" x14ac:dyDescent="0.25">
      <c r="A4" s="3" t="s">
        <v>214</v>
      </c>
      <c r="B4" s="3" t="s">
        <v>26</v>
      </c>
      <c r="C4" s="3" t="s">
        <v>27</v>
      </c>
      <c r="D4" s="3" t="s">
        <v>28</v>
      </c>
      <c r="E4" s="3" t="s">
        <v>29</v>
      </c>
      <c r="F4" s="3" t="s">
        <v>30</v>
      </c>
      <c r="G4" s="2"/>
      <c r="H4" s="2"/>
      <c r="I4" s="2"/>
      <c r="J4" s="3" t="s">
        <v>31</v>
      </c>
      <c r="K4" s="3" t="s">
        <v>32</v>
      </c>
      <c r="L4" s="3" t="s">
        <v>33</v>
      </c>
      <c r="M4" s="3" t="s">
        <v>34</v>
      </c>
      <c r="N4" s="3" t="s">
        <v>35</v>
      </c>
      <c r="O4" s="3" t="s">
        <v>65</v>
      </c>
    </row>
    <row r="5" spans="1:18" x14ac:dyDescent="0.25">
      <c r="A5" s="3" t="s">
        <v>66</v>
      </c>
      <c r="B5" s="3" t="s">
        <v>36</v>
      </c>
      <c r="C5" s="3" t="s">
        <v>37</v>
      </c>
      <c r="D5" s="3" t="s">
        <v>38</v>
      </c>
      <c r="E5" s="3" t="s">
        <v>39</v>
      </c>
      <c r="F5" s="3" t="s">
        <v>40</v>
      </c>
      <c r="G5" s="3" t="s">
        <v>223</v>
      </c>
      <c r="H5" s="2"/>
      <c r="I5" s="3" t="s">
        <v>231</v>
      </c>
      <c r="J5" s="3" t="s">
        <v>42</v>
      </c>
      <c r="K5" s="3" t="s">
        <v>43</v>
      </c>
      <c r="L5" s="3" t="s">
        <v>44</v>
      </c>
      <c r="M5" s="3" t="s">
        <v>45</v>
      </c>
      <c r="N5" s="3" t="s">
        <v>46</v>
      </c>
      <c r="O5" s="3" t="s">
        <v>67</v>
      </c>
    </row>
    <row r="6" spans="1:18" x14ac:dyDescent="0.25">
      <c r="A6" s="3" t="s">
        <v>47</v>
      </c>
      <c r="B6" s="3" t="s">
        <v>48</v>
      </c>
      <c r="C6" s="3" t="s">
        <v>49</v>
      </c>
      <c r="D6" s="3" t="s">
        <v>50</v>
      </c>
      <c r="E6" s="3" t="s">
        <v>51</v>
      </c>
      <c r="F6" s="6"/>
      <c r="G6" s="6"/>
      <c r="H6" s="2"/>
      <c r="I6" s="2"/>
      <c r="J6" s="2"/>
      <c r="K6" s="3" t="s">
        <v>52</v>
      </c>
      <c r="L6" s="3" t="s">
        <v>53</v>
      </c>
      <c r="M6" s="3" t="s">
        <v>54</v>
      </c>
      <c r="N6" s="3" t="s">
        <v>55</v>
      </c>
      <c r="O6" s="3" t="s">
        <v>56</v>
      </c>
    </row>
    <row r="7" spans="1:18" x14ac:dyDescent="0.25">
      <c r="A7" s="2"/>
      <c r="B7" s="2"/>
      <c r="C7" s="2"/>
      <c r="D7" s="2"/>
      <c r="E7" s="2"/>
      <c r="F7" s="4" t="s">
        <v>57</v>
      </c>
      <c r="G7" s="3" t="s">
        <v>229</v>
      </c>
      <c r="H7" s="2"/>
      <c r="I7" s="3" t="s">
        <v>230</v>
      </c>
      <c r="J7" s="3" t="s">
        <v>221</v>
      </c>
      <c r="K7" s="2"/>
      <c r="L7" s="2"/>
      <c r="M7" s="2"/>
      <c r="N7" s="2"/>
      <c r="O7" s="2"/>
    </row>
    <row r="8" spans="1:18" x14ac:dyDescent="0.25">
      <c r="A8" s="2"/>
      <c r="B8" s="2"/>
      <c r="C8" s="2"/>
      <c r="D8" s="2"/>
      <c r="E8" s="2"/>
      <c r="F8" s="2"/>
      <c r="G8" s="3" t="s">
        <v>59</v>
      </c>
      <c r="H8" s="2"/>
      <c r="I8" s="3" t="s">
        <v>60</v>
      </c>
      <c r="J8" s="2"/>
      <c r="K8" s="2"/>
      <c r="L8" s="2"/>
      <c r="M8" s="2"/>
      <c r="N8" s="2"/>
      <c r="O8" s="2"/>
    </row>
    <row r="9" spans="1:18" x14ac:dyDescent="0.25">
      <c r="A9" s="2"/>
      <c r="B9" s="2"/>
      <c r="C9" s="2"/>
      <c r="D9" s="2"/>
      <c r="E9" s="3" t="s">
        <v>61</v>
      </c>
      <c r="F9" s="3" t="s">
        <v>58</v>
      </c>
      <c r="G9" s="3" t="s">
        <v>63</v>
      </c>
      <c r="H9" s="2"/>
      <c r="I9" s="3" t="s">
        <v>64</v>
      </c>
      <c r="J9" s="3" t="s">
        <v>224</v>
      </c>
      <c r="K9" s="3" t="s">
        <v>221</v>
      </c>
      <c r="L9" s="2"/>
      <c r="M9" s="2"/>
      <c r="N9" s="2"/>
      <c r="O9" s="2"/>
    </row>
    <row r="10" spans="1:18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8" x14ac:dyDescent="0.25">
      <c r="A11" s="1" t="s">
        <v>69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8" x14ac:dyDescent="0.25">
      <c r="A12" s="3" t="s">
        <v>109</v>
      </c>
      <c r="B12" s="3" t="s">
        <v>70</v>
      </c>
      <c r="C12" s="3" t="s">
        <v>71</v>
      </c>
      <c r="D12" s="3" t="s">
        <v>72</v>
      </c>
      <c r="E12" s="3" t="s">
        <v>73</v>
      </c>
      <c r="F12" s="3" t="s">
        <v>74</v>
      </c>
      <c r="G12" s="3" t="s">
        <v>41</v>
      </c>
      <c r="H12" s="2"/>
      <c r="I12" s="3" t="s">
        <v>41</v>
      </c>
      <c r="J12" s="3" t="s">
        <v>75</v>
      </c>
      <c r="K12" s="3" t="s">
        <v>76</v>
      </c>
      <c r="L12" s="3" t="s">
        <v>77</v>
      </c>
      <c r="M12" s="3" t="s">
        <v>78</v>
      </c>
      <c r="N12" s="3" t="s">
        <v>79</v>
      </c>
      <c r="O12" s="3" t="s">
        <v>80</v>
      </c>
    </row>
    <row r="13" spans="1:18" x14ac:dyDescent="0.25">
      <c r="A13" s="3" t="s">
        <v>13</v>
      </c>
      <c r="B13" s="3" t="s">
        <v>81</v>
      </c>
      <c r="C13" s="3" t="s">
        <v>82</v>
      </c>
      <c r="D13" s="3" t="s">
        <v>90</v>
      </c>
      <c r="E13" s="3" t="s">
        <v>41</v>
      </c>
      <c r="F13" s="3" t="s">
        <v>41</v>
      </c>
      <c r="G13" s="3" t="s">
        <v>41</v>
      </c>
      <c r="H13" s="2"/>
      <c r="I13" s="3" t="s">
        <v>41</v>
      </c>
      <c r="J13" s="3" t="s">
        <v>41</v>
      </c>
      <c r="K13" s="3" t="s">
        <v>83</v>
      </c>
      <c r="L13" s="3" t="s">
        <v>84</v>
      </c>
      <c r="M13" s="3" t="s">
        <v>85</v>
      </c>
      <c r="N13" s="3" t="s">
        <v>41</v>
      </c>
      <c r="O13" s="3" t="s">
        <v>87</v>
      </c>
    </row>
    <row r="14" spans="1:18" x14ac:dyDescent="0.25">
      <c r="A14" s="3" t="s">
        <v>41</v>
      </c>
      <c r="B14" s="3" t="s">
        <v>41</v>
      </c>
      <c r="C14" s="3" t="s">
        <v>88</v>
      </c>
      <c r="D14" s="3" t="s">
        <v>89</v>
      </c>
      <c r="E14" s="3" t="s">
        <v>91</v>
      </c>
      <c r="F14" s="3" t="s">
        <v>92</v>
      </c>
      <c r="G14" s="3"/>
      <c r="H14" s="2"/>
      <c r="I14" s="2"/>
      <c r="J14" s="3" t="s">
        <v>41</v>
      </c>
      <c r="K14" s="3" t="s">
        <v>93</v>
      </c>
      <c r="L14" s="3" t="s">
        <v>94</v>
      </c>
      <c r="M14" s="3" t="s">
        <v>95</v>
      </c>
      <c r="N14" s="3" t="s">
        <v>225</v>
      </c>
      <c r="O14" s="3" t="s">
        <v>226</v>
      </c>
    </row>
    <row r="15" spans="1:18" x14ac:dyDescent="0.25">
      <c r="A15" s="3" t="s">
        <v>41</v>
      </c>
      <c r="B15" s="3" t="s">
        <v>25</v>
      </c>
      <c r="C15" s="3" t="s">
        <v>97</v>
      </c>
      <c r="D15" s="3" t="s">
        <v>86</v>
      </c>
      <c r="E15" s="3" t="s">
        <v>98</v>
      </c>
      <c r="F15" s="3" t="s">
        <v>99</v>
      </c>
      <c r="G15" s="3" t="s">
        <v>41</v>
      </c>
      <c r="H15" s="2"/>
      <c r="I15" s="3" t="s">
        <v>41</v>
      </c>
      <c r="J15" s="3" t="s">
        <v>41</v>
      </c>
      <c r="K15" s="3" t="s">
        <v>100</v>
      </c>
      <c r="L15" s="3" t="s">
        <v>101</v>
      </c>
      <c r="M15" s="3" t="s">
        <v>102</v>
      </c>
      <c r="N15" s="3" t="s">
        <v>96</v>
      </c>
      <c r="O15" s="3" t="s">
        <v>227</v>
      </c>
    </row>
    <row r="16" spans="1:18" x14ac:dyDescent="0.25">
      <c r="A16" s="3" t="s">
        <v>41</v>
      </c>
      <c r="B16" s="3" t="s">
        <v>41</v>
      </c>
      <c r="C16" s="3" t="s">
        <v>41</v>
      </c>
      <c r="D16" s="3" t="s">
        <v>41</v>
      </c>
      <c r="E16" s="3" t="s">
        <v>41</v>
      </c>
      <c r="F16" s="6"/>
      <c r="G16" s="6"/>
      <c r="H16" s="6"/>
      <c r="I16" s="6"/>
      <c r="J16" s="6"/>
      <c r="K16" s="3" t="s">
        <v>41</v>
      </c>
      <c r="L16" s="3" t="s">
        <v>103</v>
      </c>
      <c r="M16" s="3" t="s">
        <v>41</v>
      </c>
      <c r="N16" s="3" t="s">
        <v>104</v>
      </c>
      <c r="O16" s="3" t="s">
        <v>228</v>
      </c>
    </row>
    <row r="17" spans="1:15" x14ac:dyDescent="0.25">
      <c r="A17" s="2"/>
      <c r="B17" s="2"/>
      <c r="C17" s="2"/>
      <c r="D17" s="2"/>
      <c r="E17" s="2"/>
      <c r="F17" s="3" t="s">
        <v>41</v>
      </c>
      <c r="G17" s="3" t="s">
        <v>41</v>
      </c>
      <c r="H17" s="2"/>
      <c r="I17" s="3" t="s">
        <v>41</v>
      </c>
      <c r="J17" s="3" t="s">
        <v>41</v>
      </c>
      <c r="K17" s="2"/>
      <c r="L17" s="2"/>
      <c r="M17" s="2"/>
      <c r="N17" s="2"/>
      <c r="O17" s="2"/>
    </row>
    <row r="18" spans="1:15" x14ac:dyDescent="0.25">
      <c r="A18" s="2"/>
      <c r="B18" s="2"/>
      <c r="C18" s="2"/>
      <c r="D18" s="2"/>
      <c r="E18" s="2"/>
      <c r="F18" s="2"/>
      <c r="G18" s="3" t="s">
        <v>41</v>
      </c>
      <c r="H18" s="2"/>
      <c r="I18" s="3" t="s">
        <v>41</v>
      </c>
      <c r="J18" s="2"/>
      <c r="K18" s="2"/>
      <c r="L18" s="2"/>
      <c r="M18" s="2"/>
      <c r="N18" s="2"/>
      <c r="O18" s="2"/>
    </row>
    <row r="19" spans="1:15" x14ac:dyDescent="0.25">
      <c r="A19" s="2"/>
      <c r="B19" s="2"/>
      <c r="C19" s="2"/>
      <c r="D19" s="2"/>
      <c r="E19" s="3" t="s">
        <v>41</v>
      </c>
      <c r="F19" s="3" t="s">
        <v>41</v>
      </c>
      <c r="G19" s="3" t="s">
        <v>41</v>
      </c>
      <c r="H19" s="2"/>
      <c r="I19" s="3" t="s">
        <v>41</v>
      </c>
      <c r="J19" s="3" t="s">
        <v>41</v>
      </c>
      <c r="K19" s="3" t="s">
        <v>41</v>
      </c>
      <c r="L19" s="2"/>
      <c r="M19" s="2"/>
      <c r="N19" s="2"/>
      <c r="O19" s="2"/>
    </row>
    <row r="20" spans="1:15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</row>
    <row r="21" spans="1:15" x14ac:dyDescent="0.25">
      <c r="A21" s="1" t="s">
        <v>105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</row>
    <row r="22" spans="1:15" x14ac:dyDescent="0.25">
      <c r="A22" s="3" t="s">
        <v>41</v>
      </c>
      <c r="B22" s="3" t="s">
        <v>41</v>
      </c>
      <c r="C22" s="3" t="s">
        <v>41</v>
      </c>
      <c r="D22" s="3" t="s">
        <v>41</v>
      </c>
      <c r="E22" s="3" t="s">
        <v>41</v>
      </c>
      <c r="F22" s="3" t="s">
        <v>41</v>
      </c>
      <c r="G22" s="3" t="s">
        <v>41</v>
      </c>
      <c r="H22" s="2"/>
      <c r="I22" s="3" t="s">
        <v>41</v>
      </c>
      <c r="J22" s="3" t="s">
        <v>41</v>
      </c>
      <c r="K22" s="3" t="s">
        <v>41</v>
      </c>
      <c r="L22" s="3" t="s">
        <v>41</v>
      </c>
      <c r="M22" s="3" t="s">
        <v>41</v>
      </c>
      <c r="N22" s="3" t="s">
        <v>41</v>
      </c>
      <c r="O22" s="3" t="s">
        <v>106</v>
      </c>
    </row>
    <row r="23" spans="1:15" x14ac:dyDescent="0.25">
      <c r="A23" s="3" t="s">
        <v>41</v>
      </c>
      <c r="B23" s="3" t="s">
        <v>41</v>
      </c>
      <c r="C23" s="3" t="s">
        <v>41</v>
      </c>
      <c r="D23" s="3" t="s">
        <v>41</v>
      </c>
      <c r="E23" s="3" t="s">
        <v>215</v>
      </c>
      <c r="F23" s="3" t="s">
        <v>41</v>
      </c>
      <c r="G23" s="3" t="s">
        <v>41</v>
      </c>
      <c r="H23" s="2"/>
      <c r="I23" s="3" t="s">
        <v>41</v>
      </c>
      <c r="J23" s="3" t="s">
        <v>41</v>
      </c>
      <c r="K23" s="3" t="s">
        <v>41</v>
      </c>
      <c r="L23" s="3" t="s">
        <v>41</v>
      </c>
      <c r="M23" s="3" t="s">
        <v>41</v>
      </c>
      <c r="N23" s="3" t="s">
        <v>41</v>
      </c>
      <c r="O23" s="3" t="s">
        <v>41</v>
      </c>
    </row>
    <row r="24" spans="1:15" x14ac:dyDescent="0.25">
      <c r="A24" s="5" t="s">
        <v>41</v>
      </c>
      <c r="B24" s="3" t="s">
        <v>41</v>
      </c>
      <c r="C24" s="3" t="s">
        <v>41</v>
      </c>
      <c r="D24" s="3" t="s">
        <v>217</v>
      </c>
      <c r="E24" s="3" t="s">
        <v>216</v>
      </c>
      <c r="F24" s="3" t="s">
        <v>218</v>
      </c>
      <c r="G24" s="2"/>
      <c r="H24" s="2"/>
      <c r="I24" s="2"/>
      <c r="J24" s="3" t="s">
        <v>41</v>
      </c>
      <c r="K24" s="3" t="s">
        <v>41</v>
      </c>
      <c r="L24" s="3" t="s">
        <v>41</v>
      </c>
      <c r="M24" s="3" t="s">
        <v>41</v>
      </c>
      <c r="N24" s="3" t="s">
        <v>41</v>
      </c>
      <c r="O24" s="3" t="s">
        <v>41</v>
      </c>
    </row>
    <row r="25" spans="1:15" x14ac:dyDescent="0.25">
      <c r="A25" s="3" t="s">
        <v>41</v>
      </c>
      <c r="B25" s="3" t="s">
        <v>41</v>
      </c>
      <c r="C25" s="3" t="s">
        <v>41</v>
      </c>
      <c r="D25" s="3" t="s">
        <v>41</v>
      </c>
      <c r="E25" s="3" t="s">
        <v>41</v>
      </c>
      <c r="F25" s="3" t="s">
        <v>41</v>
      </c>
      <c r="G25" s="3" t="s">
        <v>41</v>
      </c>
      <c r="H25" s="2"/>
      <c r="I25" s="3" t="s">
        <v>41</v>
      </c>
      <c r="J25" s="3" t="s">
        <v>41</v>
      </c>
      <c r="K25" s="3" t="s">
        <v>41</v>
      </c>
      <c r="L25" s="3" t="s">
        <v>41</v>
      </c>
      <c r="M25" s="3" t="s">
        <v>41</v>
      </c>
      <c r="N25" s="3" t="s">
        <v>41</v>
      </c>
      <c r="O25" s="3" t="s">
        <v>41</v>
      </c>
    </row>
    <row r="26" spans="1:15" x14ac:dyDescent="0.25">
      <c r="A26" s="3" t="s">
        <v>41</v>
      </c>
      <c r="B26" s="3" t="s">
        <v>41</v>
      </c>
      <c r="C26" s="3" t="s">
        <v>41</v>
      </c>
      <c r="D26" s="3" t="s">
        <v>41</v>
      </c>
      <c r="E26" s="3" t="s">
        <v>41</v>
      </c>
      <c r="F26" s="2"/>
      <c r="G26" s="2"/>
      <c r="H26" s="2"/>
      <c r="I26" s="2"/>
      <c r="J26" s="2"/>
      <c r="K26" s="3" t="s">
        <v>41</v>
      </c>
      <c r="L26" s="3" t="s">
        <v>41</v>
      </c>
      <c r="M26" s="3" t="s">
        <v>41</v>
      </c>
      <c r="N26" s="3" t="s">
        <v>41</v>
      </c>
      <c r="O26" s="3" t="s">
        <v>41</v>
      </c>
    </row>
    <row r="27" spans="1:15" x14ac:dyDescent="0.25">
      <c r="A27" s="2"/>
      <c r="B27" s="2"/>
      <c r="C27" s="2"/>
      <c r="D27" s="2"/>
      <c r="E27" s="2"/>
      <c r="F27" s="3" t="s">
        <v>41</v>
      </c>
      <c r="G27" s="3" t="s">
        <v>41</v>
      </c>
      <c r="H27" s="2"/>
      <c r="I27" s="3" t="s">
        <v>41</v>
      </c>
      <c r="J27" s="3" t="s">
        <v>41</v>
      </c>
      <c r="K27" s="2"/>
      <c r="L27" s="2"/>
      <c r="M27" s="2"/>
      <c r="N27" s="2"/>
      <c r="O27" s="2"/>
    </row>
    <row r="28" spans="1:15" x14ac:dyDescent="0.25">
      <c r="A28" s="2"/>
      <c r="B28" s="2"/>
      <c r="C28" s="2"/>
      <c r="D28" s="2"/>
      <c r="E28" s="2"/>
      <c r="F28" s="2"/>
      <c r="G28" s="3" t="s">
        <v>41</v>
      </c>
      <c r="H28" s="2"/>
      <c r="I28" s="5" t="s">
        <v>41</v>
      </c>
      <c r="J28" s="2"/>
      <c r="K28" s="2"/>
      <c r="L28" s="2"/>
      <c r="M28" s="2"/>
      <c r="N28" s="2"/>
      <c r="O28" s="2"/>
    </row>
    <row r="29" spans="1:15" x14ac:dyDescent="0.25">
      <c r="A29" s="2"/>
      <c r="B29" s="2"/>
      <c r="C29" s="2"/>
      <c r="D29" s="2"/>
      <c r="E29" s="3" t="s">
        <v>219</v>
      </c>
      <c r="F29" s="3" t="s">
        <v>220</v>
      </c>
      <c r="G29" s="3" t="s">
        <v>41</v>
      </c>
      <c r="H29" s="2"/>
      <c r="I29" s="3" t="s">
        <v>41</v>
      </c>
      <c r="J29" s="3" t="s">
        <v>41</v>
      </c>
      <c r="K29" s="3" t="s">
        <v>41</v>
      </c>
      <c r="L29" s="2"/>
      <c r="M29" s="2"/>
      <c r="N29" s="2"/>
      <c r="O29" s="2"/>
    </row>
    <row r="30" spans="1:15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</row>
    <row r="31" spans="1:15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</row>
    <row r="32" spans="1:15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</row>
    <row r="33" spans="1:15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</row>
    <row r="34" spans="1:15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</row>
    <row r="36" spans="1:15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</row>
    <row r="40" spans="1:15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</row>
    <row r="41" spans="1:15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</row>
    <row r="42" spans="1:15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</row>
    <row r="43" spans="1:15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</row>
    <row r="44" spans="1:15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</row>
    <row r="45" spans="1:15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</row>
    <row r="46" spans="1:15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</row>
    <row r="47" spans="1:15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</row>
    <row r="48" spans="1:15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</row>
    <row r="49" spans="1:15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</row>
    <row r="50" spans="1:15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</row>
    <row r="51" spans="1:15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</row>
    <row r="52" spans="1:15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</row>
    <row r="53" spans="1:15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</row>
    <row r="54" spans="1:15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</row>
    <row r="55" spans="1:15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</row>
    <row r="56" spans="1:15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</row>
    <row r="57" spans="1:15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</row>
    <row r="58" spans="1:15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</row>
    <row r="59" spans="1:15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</row>
    <row r="60" spans="1:15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</row>
    <row r="61" spans="1:15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</row>
    <row r="62" spans="1:15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</row>
    <row r="63" spans="1:15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</row>
    <row r="64" spans="1:15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</row>
    <row r="65" spans="1:15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</row>
    <row r="66" spans="1:15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</row>
    <row r="67" spans="1:15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</row>
    <row r="68" spans="1:15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</row>
    <row r="69" spans="1:15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</row>
    <row r="70" spans="1:15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</row>
    <row r="71" spans="1:15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</row>
    <row r="72" spans="1:15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</row>
    <row r="73" spans="1:15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</row>
    <row r="74" spans="1:15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</row>
    <row r="75" spans="1:15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</row>
    <row r="76" spans="1:15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</row>
    <row r="77" spans="1:15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</row>
    <row r="78" spans="1:15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</row>
    <row r="79" spans="1:15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</row>
    <row r="80" spans="1:15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</row>
    <row r="81" spans="1:15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</row>
    <row r="82" spans="1:15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</row>
    <row r="83" spans="1:15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</row>
    <row r="84" spans="1:15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</row>
    <row r="85" spans="1:15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</row>
    <row r="86" spans="1:15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</row>
    <row r="87" spans="1:15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</row>
    <row r="88" spans="1:15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</row>
    <row r="89" spans="1:15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</row>
    <row r="90" spans="1:15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</row>
    <row r="91" spans="1:15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</row>
    <row r="92" spans="1:15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</row>
    <row r="93" spans="1:15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</row>
    <row r="94" spans="1:15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</row>
    <row r="95" spans="1:15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</row>
    <row r="96" spans="1:15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</row>
    <row r="97" spans="1:15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</row>
    <row r="98" spans="1:15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</row>
    <row r="99" spans="1:15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</row>
    <row r="100" spans="1:15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</row>
  </sheetData>
  <conditionalFormatting sqref="Q2:R2 A25:O100 A23:B23 D23:O23 A24 G24:O24 A1:O22">
    <cfRule type="cellIs" dxfId="5" priority="36" operator="equal">
      <formula>"KC_TRNS"</formula>
    </cfRule>
  </conditionalFormatting>
  <conditionalFormatting sqref="A25:O100 A23:B23 D23:O23 A24 G24:O24 A1:O22">
    <cfRule type="containsText" dxfId="4" priority="31" operator="containsText" text="TG(">
      <formula>NOT(ISERROR(SEARCH("TG(",A1)))</formula>
    </cfRule>
    <cfRule type="containsText" dxfId="3" priority="32" operator="containsText" text="TD(">
      <formula>NOT(ISERROR(SEARCH("TD(",A1)))</formula>
    </cfRule>
    <cfRule type="containsText" dxfId="2" priority="33" operator="containsText" text="CS_">
      <formula>NOT(ISERROR(SEARCH("CS_",A1)))</formula>
    </cfRule>
    <cfRule type="containsText" dxfId="1" priority="34" operator="containsText" text="RESET">
      <formula>NOT(ISERROR(SEARCH("RESET",A1)))</formula>
    </cfRule>
    <cfRule type="containsText" dxfId="0" priority="35" operator="containsText" text="MO(">
      <formula>NOT(ISERROR(SEARCH("MO(",A1)))</formula>
    </cfRule>
  </conditionalFormatting>
  <conditionalFormatting sqref="E23">
    <cfRule type="cellIs" dxfId="37" priority="30" operator="equal">
      <formula>"KC_TRNS"</formula>
    </cfRule>
  </conditionalFormatting>
  <conditionalFormatting sqref="E23">
    <cfRule type="containsText" dxfId="36" priority="25" operator="containsText" text="TG(">
      <formula>NOT(ISERROR(SEARCH("TG(",E23)))</formula>
    </cfRule>
    <cfRule type="containsText" dxfId="35" priority="26" operator="containsText" text="TD(">
      <formula>NOT(ISERROR(SEARCH("TD(",E23)))</formula>
    </cfRule>
    <cfRule type="containsText" dxfId="34" priority="27" operator="containsText" text="CS_">
      <formula>NOT(ISERROR(SEARCH("CS_",E23)))</formula>
    </cfRule>
    <cfRule type="containsText" dxfId="33" priority="28" operator="containsText" text="RESET">
      <formula>NOT(ISERROR(SEARCH("RESET",E23)))</formula>
    </cfRule>
    <cfRule type="containsText" dxfId="32" priority="29" operator="containsText" text="MO(">
      <formula>NOT(ISERROR(SEARCH("MO(",E23)))</formula>
    </cfRule>
  </conditionalFormatting>
  <conditionalFormatting sqref="D24:E24">
    <cfRule type="cellIs" dxfId="31" priority="24" operator="equal">
      <formula>"KC_TRNS"</formula>
    </cfRule>
  </conditionalFormatting>
  <conditionalFormatting sqref="D24:E24">
    <cfRule type="containsText" dxfId="30" priority="19" operator="containsText" text="TG(">
      <formula>NOT(ISERROR(SEARCH("TG(",D24)))</formula>
    </cfRule>
    <cfRule type="containsText" dxfId="29" priority="20" operator="containsText" text="TD(">
      <formula>NOT(ISERROR(SEARCH("TD(",D24)))</formula>
    </cfRule>
    <cfRule type="containsText" dxfId="28" priority="21" operator="containsText" text="CS_">
      <formula>NOT(ISERROR(SEARCH("CS_",D24)))</formula>
    </cfRule>
    <cfRule type="containsText" dxfId="27" priority="22" operator="containsText" text="RESET">
      <formula>NOT(ISERROR(SEARCH("RESET",D24)))</formula>
    </cfRule>
    <cfRule type="containsText" dxfId="26" priority="23" operator="containsText" text="MO(">
      <formula>NOT(ISERROR(SEARCH("MO(",D24)))</formula>
    </cfRule>
  </conditionalFormatting>
  <conditionalFormatting sqref="C23:C24">
    <cfRule type="cellIs" dxfId="23" priority="18" operator="equal">
      <formula>"KC_TRNS"</formula>
    </cfRule>
  </conditionalFormatting>
  <conditionalFormatting sqref="C23:C24">
    <cfRule type="containsText" dxfId="22" priority="13" operator="containsText" text="TG(">
      <formula>NOT(ISERROR(SEARCH("TG(",C23)))</formula>
    </cfRule>
    <cfRule type="containsText" dxfId="21" priority="14" operator="containsText" text="TD(">
      <formula>NOT(ISERROR(SEARCH("TD(",C23)))</formula>
    </cfRule>
    <cfRule type="containsText" dxfId="20" priority="15" operator="containsText" text="CS_">
      <formula>NOT(ISERROR(SEARCH("CS_",C23)))</formula>
    </cfRule>
    <cfRule type="containsText" dxfId="19" priority="16" operator="containsText" text="RESET">
      <formula>NOT(ISERROR(SEARCH("RESET",C23)))</formula>
    </cfRule>
    <cfRule type="containsText" dxfId="18" priority="17" operator="containsText" text="MO(">
      <formula>NOT(ISERROR(SEARCH("MO(",C23)))</formula>
    </cfRule>
  </conditionalFormatting>
  <conditionalFormatting sqref="B24">
    <cfRule type="cellIs" dxfId="17" priority="12" operator="equal">
      <formula>"KC_TRNS"</formula>
    </cfRule>
  </conditionalFormatting>
  <conditionalFormatting sqref="B24">
    <cfRule type="containsText" dxfId="16" priority="7" operator="containsText" text="TG(">
      <formula>NOT(ISERROR(SEARCH("TG(",B24)))</formula>
    </cfRule>
    <cfRule type="containsText" dxfId="15" priority="8" operator="containsText" text="TD(">
      <formula>NOT(ISERROR(SEARCH("TD(",B24)))</formula>
    </cfRule>
    <cfRule type="containsText" dxfId="14" priority="9" operator="containsText" text="CS_">
      <formula>NOT(ISERROR(SEARCH("CS_",B24)))</formula>
    </cfRule>
    <cfRule type="containsText" dxfId="13" priority="10" operator="containsText" text="RESET">
      <formula>NOT(ISERROR(SEARCH("RESET",B24)))</formula>
    </cfRule>
    <cfRule type="containsText" dxfId="12" priority="11" operator="containsText" text="MO(">
      <formula>NOT(ISERROR(SEARCH("MO(",B24)))</formula>
    </cfRule>
  </conditionalFormatting>
  <conditionalFormatting sqref="F24">
    <cfRule type="cellIs" dxfId="11" priority="6" operator="equal">
      <formula>"KC_TRNS"</formula>
    </cfRule>
  </conditionalFormatting>
  <conditionalFormatting sqref="F24">
    <cfRule type="containsText" dxfId="10" priority="1" operator="containsText" text="TG(">
      <formula>NOT(ISERROR(SEARCH("TG(",F24)))</formula>
    </cfRule>
    <cfRule type="containsText" dxfId="9" priority="2" operator="containsText" text="TD(">
      <formula>NOT(ISERROR(SEARCH("TD(",F24)))</formula>
    </cfRule>
    <cfRule type="containsText" dxfId="8" priority="3" operator="containsText" text="CS_">
      <formula>NOT(ISERROR(SEARCH("CS_",F24)))</formula>
    </cfRule>
    <cfRule type="containsText" dxfId="7" priority="4" operator="containsText" text="RESET">
      <formula>NOT(ISERROR(SEARCH("RESET",F24)))</formula>
    </cfRule>
    <cfRule type="containsText" dxfId="6" priority="5" operator="containsText" text="MO(">
      <formula>NOT(ISERROR(SEARCH("MO(",F24)))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Keymap">
                <anchor moveWithCells="1" sizeWithCells="1">
                  <from>
                    <xdr:col>16</xdr:col>
                    <xdr:colOff>47625</xdr:colOff>
                    <xdr:row>4</xdr:row>
                    <xdr:rowOff>66675</xdr:rowOff>
                  </from>
                  <to>
                    <xdr:col>17</xdr:col>
                    <xdr:colOff>619125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82D65-5E10-4F74-8F8A-5A6442F9ED6B}">
  <dimension ref="A1:H52"/>
  <sheetViews>
    <sheetView workbookViewId="0">
      <selection activeCell="B26" sqref="B26"/>
    </sheetView>
  </sheetViews>
  <sheetFormatPr baseColWidth="10" defaultRowHeight="15" x14ac:dyDescent="0.25"/>
  <sheetData>
    <row r="1" spans="1:8" x14ac:dyDescent="0.25">
      <c r="A1" t="s">
        <v>119</v>
      </c>
    </row>
    <row r="2" spans="1:8" x14ac:dyDescent="0.25">
      <c r="A2" t="s">
        <v>123</v>
      </c>
      <c r="B2" t="s">
        <v>109</v>
      </c>
      <c r="C2" t="s">
        <v>124</v>
      </c>
      <c r="D2" t="s">
        <v>125</v>
      </c>
      <c r="E2" t="s">
        <v>126</v>
      </c>
      <c r="F2">
        <f>COUNTIF(LAYOUT!$A$1:$O$100,B2)</f>
        <v>1</v>
      </c>
      <c r="G2">
        <f>COUNTIF(LAYOUT!$A$1:$O$100,C2)</f>
        <v>0</v>
      </c>
      <c r="H2">
        <f>MAX(F2,G2)</f>
        <v>1</v>
      </c>
    </row>
    <row r="3" spans="1:8" x14ac:dyDescent="0.25">
      <c r="A3" t="s">
        <v>123</v>
      </c>
      <c r="B3" t="s">
        <v>1</v>
      </c>
      <c r="C3" t="s">
        <v>127</v>
      </c>
      <c r="D3" t="s">
        <v>125</v>
      </c>
      <c r="E3" t="s">
        <v>128</v>
      </c>
      <c r="F3">
        <f>COUNTIF(LAYOUT!$A$1:$O$100,B3)</f>
        <v>1</v>
      </c>
      <c r="G3">
        <f>COUNTIF(LAYOUT!$A$1:$O$100,C3)</f>
        <v>0</v>
      </c>
      <c r="H3">
        <f t="shared" ref="H3:H52" si="0">MAX(F3,G3)</f>
        <v>1</v>
      </c>
    </row>
    <row r="4" spans="1:8" x14ac:dyDescent="0.25">
      <c r="A4" t="s">
        <v>123</v>
      </c>
      <c r="B4" t="s">
        <v>2</v>
      </c>
      <c r="C4" t="s">
        <v>129</v>
      </c>
      <c r="D4" t="s">
        <v>125</v>
      </c>
      <c r="E4" t="s">
        <v>130</v>
      </c>
      <c r="F4">
        <f>COUNTIF(LAYOUT!$A$1:$O$100,B4)</f>
        <v>1</v>
      </c>
      <c r="G4">
        <f>COUNTIF(LAYOUT!$A$1:$O$100,C4)</f>
        <v>0</v>
      </c>
      <c r="H4">
        <f t="shared" si="0"/>
        <v>1</v>
      </c>
    </row>
    <row r="5" spans="1:8" x14ac:dyDescent="0.25">
      <c r="A5" t="s">
        <v>123</v>
      </c>
      <c r="B5" t="s">
        <v>3</v>
      </c>
      <c r="C5" t="s">
        <v>131</v>
      </c>
      <c r="D5" t="s">
        <v>125</v>
      </c>
      <c r="E5" t="s">
        <v>132</v>
      </c>
      <c r="F5">
        <f>COUNTIF(LAYOUT!$A$1:$O$100,B5)</f>
        <v>1</v>
      </c>
      <c r="G5">
        <f>COUNTIF(LAYOUT!$A$1:$O$100,C5)</f>
        <v>0</v>
      </c>
      <c r="H5">
        <f t="shared" si="0"/>
        <v>1</v>
      </c>
    </row>
    <row r="6" spans="1:8" x14ac:dyDescent="0.25">
      <c r="A6" t="s">
        <v>123</v>
      </c>
      <c r="B6" t="s">
        <v>4</v>
      </c>
      <c r="C6" t="s">
        <v>133</v>
      </c>
      <c r="D6" t="s">
        <v>125</v>
      </c>
      <c r="E6" t="s">
        <v>134</v>
      </c>
      <c r="F6">
        <f>COUNTIF(LAYOUT!$A$1:$O$100,B6)</f>
        <v>1</v>
      </c>
      <c r="G6">
        <f>COUNTIF(LAYOUT!$A$1:$O$100,C6)</f>
        <v>0</v>
      </c>
      <c r="H6">
        <f t="shared" si="0"/>
        <v>1</v>
      </c>
    </row>
    <row r="7" spans="1:8" x14ac:dyDescent="0.25">
      <c r="A7" t="s">
        <v>123</v>
      </c>
      <c r="B7" t="s">
        <v>5</v>
      </c>
      <c r="C7" t="s">
        <v>135</v>
      </c>
      <c r="D7" t="s">
        <v>125</v>
      </c>
      <c r="E7" t="s">
        <v>136</v>
      </c>
      <c r="F7">
        <f>COUNTIF(LAYOUT!$A$1:$O$100,B7)</f>
        <v>1</v>
      </c>
      <c r="G7">
        <f>COUNTIF(LAYOUT!$A$1:$O$100,C7)</f>
        <v>0</v>
      </c>
      <c r="H7">
        <f t="shared" si="0"/>
        <v>1</v>
      </c>
    </row>
    <row r="8" spans="1:8" x14ac:dyDescent="0.25">
      <c r="A8" t="s">
        <v>123</v>
      </c>
      <c r="B8" t="s">
        <v>8</v>
      </c>
      <c r="C8" t="s">
        <v>137</v>
      </c>
      <c r="D8" t="s">
        <v>125</v>
      </c>
      <c r="E8" t="s">
        <v>138</v>
      </c>
      <c r="F8">
        <f>COUNTIF(LAYOUT!$A$1:$O$100,B8)</f>
        <v>1</v>
      </c>
      <c r="G8">
        <f>COUNTIF(LAYOUT!$A$1:$O$100,C8)</f>
        <v>0</v>
      </c>
      <c r="H8">
        <f t="shared" si="0"/>
        <v>1</v>
      </c>
    </row>
    <row r="9" spans="1:8" x14ac:dyDescent="0.25">
      <c r="A9" t="s">
        <v>123</v>
      </c>
      <c r="B9" t="s">
        <v>9</v>
      </c>
      <c r="C9" t="s">
        <v>139</v>
      </c>
      <c r="D9" t="s">
        <v>125</v>
      </c>
      <c r="E9" t="s">
        <v>140</v>
      </c>
      <c r="F9">
        <f>COUNTIF(LAYOUT!$A$1:$O$100,B9)</f>
        <v>1</v>
      </c>
      <c r="G9">
        <f>COUNTIF(LAYOUT!$A$1:$O$100,C9)</f>
        <v>0</v>
      </c>
      <c r="H9">
        <f t="shared" si="0"/>
        <v>1</v>
      </c>
    </row>
    <row r="10" spans="1:8" x14ac:dyDescent="0.25">
      <c r="A10" t="s">
        <v>123</v>
      </c>
      <c r="B10" t="s">
        <v>10</v>
      </c>
      <c r="C10" t="s">
        <v>141</v>
      </c>
      <c r="D10" t="s">
        <v>125</v>
      </c>
      <c r="E10" t="s">
        <v>142</v>
      </c>
      <c r="F10">
        <f>COUNTIF(LAYOUT!$A$1:$O$100,B10)</f>
        <v>1</v>
      </c>
      <c r="G10">
        <f>COUNTIF(LAYOUT!$A$1:$O$100,C10)</f>
        <v>0</v>
      </c>
      <c r="H10">
        <f t="shared" si="0"/>
        <v>1</v>
      </c>
    </row>
    <row r="11" spans="1:8" x14ac:dyDescent="0.25">
      <c r="A11" t="s">
        <v>123</v>
      </c>
      <c r="B11" t="s">
        <v>11</v>
      </c>
      <c r="C11" t="s">
        <v>143</v>
      </c>
      <c r="D11" t="s">
        <v>125</v>
      </c>
      <c r="E11" t="s">
        <v>144</v>
      </c>
      <c r="F11">
        <f>COUNTIF(LAYOUT!$A$1:$O$100,B11)</f>
        <v>1</v>
      </c>
      <c r="G11">
        <f>COUNTIF(LAYOUT!$A$1:$O$100,C11)</f>
        <v>0</v>
      </c>
      <c r="H11">
        <f t="shared" si="0"/>
        <v>1</v>
      </c>
    </row>
    <row r="12" spans="1:8" x14ac:dyDescent="0.25">
      <c r="A12" t="s">
        <v>123</v>
      </c>
      <c r="B12" t="s">
        <v>12</v>
      </c>
      <c r="C12" t="s">
        <v>145</v>
      </c>
      <c r="D12" t="s">
        <v>125</v>
      </c>
      <c r="E12" t="s">
        <v>146</v>
      </c>
      <c r="F12">
        <f>COUNTIF(LAYOUT!$A$1:$O$100,B12)</f>
        <v>1</v>
      </c>
      <c r="G12">
        <f>COUNTIF(LAYOUT!$A$1:$O$100,C12)</f>
        <v>0</v>
      </c>
      <c r="H12">
        <f t="shared" si="0"/>
        <v>1</v>
      </c>
    </row>
    <row r="13" spans="1:8" x14ac:dyDescent="0.25">
      <c r="A13" t="s">
        <v>123</v>
      </c>
      <c r="B13" t="s">
        <v>110</v>
      </c>
      <c r="C13" t="s">
        <v>147</v>
      </c>
      <c r="D13" t="s">
        <v>125</v>
      </c>
      <c r="E13" t="s">
        <v>148</v>
      </c>
      <c r="F13">
        <f>COUNTIF(LAYOUT!$A$1:$O$100,B13)</f>
        <v>0</v>
      </c>
      <c r="G13">
        <f>COUNTIF(LAYOUT!$A$1:$O$100,C13)</f>
        <v>0</v>
      </c>
      <c r="H13">
        <f t="shared" si="0"/>
        <v>0</v>
      </c>
    </row>
    <row r="14" spans="1:8" x14ac:dyDescent="0.25">
      <c r="A14" t="s">
        <v>123</v>
      </c>
      <c r="B14" t="s">
        <v>57</v>
      </c>
      <c r="C14" t="s">
        <v>104</v>
      </c>
      <c r="D14" t="s">
        <v>125</v>
      </c>
      <c r="E14" t="s">
        <v>149</v>
      </c>
      <c r="F14">
        <f>COUNTIF(LAYOUT!$A$1:$O$100,B14)</f>
        <v>1</v>
      </c>
      <c r="G14">
        <f>COUNTIF(LAYOUT!$A$1:$O$100,C14)</f>
        <v>1</v>
      </c>
      <c r="H14">
        <f t="shared" si="0"/>
        <v>1</v>
      </c>
    </row>
    <row r="15" spans="1:8" x14ac:dyDescent="0.25">
      <c r="A15" t="s">
        <v>120</v>
      </c>
    </row>
    <row r="16" spans="1:8" x14ac:dyDescent="0.25">
      <c r="A16" t="s">
        <v>123</v>
      </c>
      <c r="B16" t="s">
        <v>15</v>
      </c>
      <c r="C16" t="s">
        <v>150</v>
      </c>
      <c r="D16" t="s">
        <v>125</v>
      </c>
      <c r="E16" t="s">
        <v>151</v>
      </c>
      <c r="F16">
        <f>COUNTIF(LAYOUT!$A$1:$O$100,B16)</f>
        <v>1</v>
      </c>
      <c r="G16">
        <f>COUNTIF(LAYOUT!$A$1:$O$100,C16)</f>
        <v>0</v>
      </c>
      <c r="H16">
        <f t="shared" si="0"/>
        <v>1</v>
      </c>
    </row>
    <row r="17" spans="1:8" x14ac:dyDescent="0.25">
      <c r="A17" t="s">
        <v>123</v>
      </c>
      <c r="B17" t="s">
        <v>16</v>
      </c>
      <c r="C17" t="s">
        <v>152</v>
      </c>
      <c r="D17" t="s">
        <v>125</v>
      </c>
      <c r="E17" t="s">
        <v>153</v>
      </c>
      <c r="F17">
        <f>COUNTIF(LAYOUT!$A$1:$O$100,B17)</f>
        <v>1</v>
      </c>
      <c r="G17">
        <f>COUNTIF(LAYOUT!$A$1:$O$100,C17)</f>
        <v>0</v>
      </c>
      <c r="H17">
        <f t="shared" si="0"/>
        <v>1</v>
      </c>
    </row>
    <row r="18" spans="1:8" x14ac:dyDescent="0.25">
      <c r="A18" t="s">
        <v>123</v>
      </c>
      <c r="B18" t="s">
        <v>111</v>
      </c>
      <c r="C18" t="s">
        <v>17</v>
      </c>
      <c r="D18" t="s">
        <v>125</v>
      </c>
      <c r="E18" t="s">
        <v>154</v>
      </c>
      <c r="F18">
        <f>COUNTIF(LAYOUT!$A$1:$O$100,B18)</f>
        <v>0</v>
      </c>
      <c r="G18">
        <f>COUNTIF(LAYOUT!$A$1:$O$100,C18)</f>
        <v>1</v>
      </c>
      <c r="H18">
        <f t="shared" si="0"/>
        <v>1</v>
      </c>
    </row>
    <row r="19" spans="1:8" x14ac:dyDescent="0.25">
      <c r="A19" t="s">
        <v>123</v>
      </c>
      <c r="B19" t="s">
        <v>112</v>
      </c>
      <c r="C19" t="s">
        <v>18</v>
      </c>
      <c r="D19" t="s">
        <v>125</v>
      </c>
      <c r="E19" t="s">
        <v>155</v>
      </c>
      <c r="F19">
        <f>COUNTIF(LAYOUT!$A$1:$O$100,B19)</f>
        <v>0</v>
      </c>
      <c r="G19">
        <f>COUNTIF(LAYOUT!$A$1:$O$100,C19)</f>
        <v>1</v>
      </c>
      <c r="H19">
        <f t="shared" si="0"/>
        <v>1</v>
      </c>
    </row>
    <row r="20" spans="1:8" x14ac:dyDescent="0.25">
      <c r="A20" t="s">
        <v>123</v>
      </c>
      <c r="B20" t="s">
        <v>113</v>
      </c>
      <c r="C20" t="s">
        <v>19</v>
      </c>
      <c r="D20" t="s">
        <v>125</v>
      </c>
      <c r="E20" t="s">
        <v>156</v>
      </c>
      <c r="F20">
        <f>COUNTIF(LAYOUT!$A$1:$O$100,B20)</f>
        <v>0</v>
      </c>
      <c r="G20">
        <f>COUNTIF(LAYOUT!$A$1:$O$100,C20)</f>
        <v>1</v>
      </c>
      <c r="H20">
        <f t="shared" si="0"/>
        <v>1</v>
      </c>
    </row>
    <row r="21" spans="1:8" x14ac:dyDescent="0.25">
      <c r="A21" t="s">
        <v>123</v>
      </c>
      <c r="B21" t="s">
        <v>114</v>
      </c>
      <c r="C21" t="s">
        <v>20</v>
      </c>
      <c r="D21" t="s">
        <v>125</v>
      </c>
      <c r="E21" t="s">
        <v>157</v>
      </c>
      <c r="F21">
        <f>COUNTIF(LAYOUT!$A$1:$O$100,B21)</f>
        <v>0</v>
      </c>
      <c r="G21">
        <f>COUNTIF(LAYOUT!$A$1:$O$100,C21)</f>
        <v>1</v>
      </c>
      <c r="H21">
        <f t="shared" si="0"/>
        <v>1</v>
      </c>
    </row>
    <row r="22" spans="1:8" x14ac:dyDescent="0.25">
      <c r="A22" t="s">
        <v>123</v>
      </c>
      <c r="B22" t="s">
        <v>115</v>
      </c>
      <c r="C22" t="s">
        <v>158</v>
      </c>
      <c r="D22" t="s">
        <v>125</v>
      </c>
      <c r="E22" t="s">
        <v>159</v>
      </c>
      <c r="F22">
        <f>COUNTIF(LAYOUT!$A$1:$O$100,B22)</f>
        <v>0</v>
      </c>
      <c r="G22">
        <f>COUNTIF(LAYOUT!$A$1:$O$100,C22)</f>
        <v>0</v>
      </c>
      <c r="H22">
        <f t="shared" si="0"/>
        <v>0</v>
      </c>
    </row>
    <row r="23" spans="1:8" x14ac:dyDescent="0.25">
      <c r="A23" t="s">
        <v>123</v>
      </c>
      <c r="B23" t="s">
        <v>116</v>
      </c>
      <c r="C23" t="s">
        <v>22</v>
      </c>
      <c r="D23" t="s">
        <v>125</v>
      </c>
      <c r="E23" t="s">
        <v>160</v>
      </c>
      <c r="F23">
        <f>COUNTIF(LAYOUT!$A$1:$O$100,B23)</f>
        <v>0</v>
      </c>
      <c r="G23">
        <f>COUNTIF(LAYOUT!$A$1:$O$100,C23)</f>
        <v>1</v>
      </c>
      <c r="H23">
        <f t="shared" si="0"/>
        <v>1</v>
      </c>
    </row>
    <row r="24" spans="1:8" x14ac:dyDescent="0.25">
      <c r="A24" t="s">
        <v>123</v>
      </c>
      <c r="B24" t="s">
        <v>117</v>
      </c>
      <c r="C24" t="s">
        <v>23</v>
      </c>
      <c r="D24" t="s">
        <v>125</v>
      </c>
      <c r="E24" t="s">
        <v>161</v>
      </c>
      <c r="F24">
        <f>COUNTIF(LAYOUT!$A$1:$O$100,B24)</f>
        <v>0</v>
      </c>
      <c r="G24">
        <f>COUNTIF(LAYOUT!$A$1:$O$100,C24)</f>
        <v>1</v>
      </c>
      <c r="H24">
        <f t="shared" si="0"/>
        <v>1</v>
      </c>
    </row>
    <row r="25" spans="1:8" x14ac:dyDescent="0.25">
      <c r="A25" t="s">
        <v>123</v>
      </c>
      <c r="B25" t="s">
        <v>118</v>
      </c>
      <c r="C25" t="s">
        <v>24</v>
      </c>
      <c r="D25" t="s">
        <v>125</v>
      </c>
      <c r="E25" t="s">
        <v>162</v>
      </c>
      <c r="F25">
        <f>COUNTIF(LAYOUT!$A$1:$O$100,B25)</f>
        <v>0</v>
      </c>
      <c r="G25">
        <f>COUNTIF(LAYOUT!$A$1:$O$100,C25)</f>
        <v>1</v>
      </c>
      <c r="H25">
        <f t="shared" si="0"/>
        <v>1</v>
      </c>
    </row>
    <row r="26" spans="1:8" x14ac:dyDescent="0.25">
      <c r="A26" t="s">
        <v>123</v>
      </c>
      <c r="B26" t="s">
        <v>13</v>
      </c>
      <c r="C26" t="s">
        <v>163</v>
      </c>
      <c r="D26" t="s">
        <v>125</v>
      </c>
      <c r="E26" t="s">
        <v>164</v>
      </c>
      <c r="F26">
        <f>COUNTIF(LAYOUT!$A$1:$O$100,B26)</f>
        <v>1</v>
      </c>
      <c r="G26">
        <f>COUNTIF(LAYOUT!$A$1:$O$100,C26)</f>
        <v>0</v>
      </c>
      <c r="H26">
        <f t="shared" si="0"/>
        <v>1</v>
      </c>
    </row>
    <row r="27" spans="1:8" x14ac:dyDescent="0.25">
      <c r="A27" t="s">
        <v>123</v>
      </c>
      <c r="B27" t="s">
        <v>25</v>
      </c>
      <c r="C27" t="s">
        <v>165</v>
      </c>
      <c r="D27" t="s">
        <v>125</v>
      </c>
      <c r="E27" t="s">
        <v>166</v>
      </c>
      <c r="F27">
        <f>COUNTIF(LAYOUT!$A$1:$O$100,B27)</f>
        <v>1</v>
      </c>
      <c r="G27">
        <f>COUNTIF(LAYOUT!$A$1:$O$100,C27)</f>
        <v>0</v>
      </c>
      <c r="H27">
        <f t="shared" si="0"/>
        <v>1</v>
      </c>
    </row>
    <row r="28" spans="1:8" x14ac:dyDescent="0.25">
      <c r="A28" t="s">
        <v>121</v>
      </c>
    </row>
    <row r="29" spans="1:8" x14ac:dyDescent="0.25">
      <c r="A29" t="s">
        <v>123</v>
      </c>
      <c r="B29" t="s">
        <v>26</v>
      </c>
      <c r="C29" t="s">
        <v>167</v>
      </c>
      <c r="D29" t="s">
        <v>125</v>
      </c>
      <c r="E29" t="s">
        <v>168</v>
      </c>
      <c r="F29">
        <f>COUNTIF(LAYOUT!$A$1:$O$100,B29)</f>
        <v>1</v>
      </c>
      <c r="G29">
        <f>COUNTIF(LAYOUT!$A$1:$O$100,C29)</f>
        <v>0</v>
      </c>
      <c r="H29">
        <f t="shared" si="0"/>
        <v>1</v>
      </c>
    </row>
    <row r="30" spans="1:8" x14ac:dyDescent="0.25">
      <c r="A30" t="s">
        <v>123</v>
      </c>
      <c r="B30" t="s">
        <v>169</v>
      </c>
      <c r="C30" t="s">
        <v>27</v>
      </c>
      <c r="D30" t="s">
        <v>125</v>
      </c>
      <c r="E30" t="s">
        <v>170</v>
      </c>
      <c r="F30">
        <f>COUNTIF(LAYOUT!$A$1:$O$100,B30)</f>
        <v>0</v>
      </c>
      <c r="G30">
        <f>COUNTIF(LAYOUT!$A$1:$O$100,C30)</f>
        <v>1</v>
      </c>
      <c r="H30">
        <f t="shared" si="0"/>
        <v>1</v>
      </c>
    </row>
    <row r="31" spans="1:8" x14ac:dyDescent="0.25">
      <c r="A31" t="s">
        <v>123</v>
      </c>
      <c r="B31" t="s">
        <v>171</v>
      </c>
      <c r="C31" t="s">
        <v>28</v>
      </c>
      <c r="D31" t="s">
        <v>125</v>
      </c>
      <c r="E31" t="s">
        <v>172</v>
      </c>
      <c r="F31">
        <f>COUNTIF(LAYOUT!$A$1:$O$100,B31)</f>
        <v>0</v>
      </c>
      <c r="G31">
        <f>COUNTIF(LAYOUT!$A$1:$O$100,C31)</f>
        <v>1</v>
      </c>
      <c r="H31">
        <f t="shared" si="0"/>
        <v>1</v>
      </c>
    </row>
    <row r="32" spans="1:8" x14ac:dyDescent="0.25">
      <c r="A32" t="s">
        <v>123</v>
      </c>
      <c r="B32" t="s">
        <v>173</v>
      </c>
      <c r="C32" t="s">
        <v>29</v>
      </c>
      <c r="D32" t="s">
        <v>125</v>
      </c>
      <c r="E32" t="s">
        <v>174</v>
      </c>
      <c r="F32">
        <f>COUNTIF(LAYOUT!$A$1:$O$100,B32)</f>
        <v>0</v>
      </c>
      <c r="G32">
        <f>COUNTIF(LAYOUT!$A$1:$O$100,C32)</f>
        <v>1</v>
      </c>
      <c r="H32">
        <f t="shared" si="0"/>
        <v>1</v>
      </c>
    </row>
    <row r="33" spans="1:8" x14ac:dyDescent="0.25">
      <c r="A33" t="s">
        <v>123</v>
      </c>
      <c r="B33" t="s">
        <v>175</v>
      </c>
      <c r="C33" t="s">
        <v>30</v>
      </c>
      <c r="D33" t="s">
        <v>125</v>
      </c>
      <c r="E33" t="s">
        <v>176</v>
      </c>
      <c r="F33">
        <f>COUNTIF(LAYOUT!$A$1:$O$100,B33)</f>
        <v>0</v>
      </c>
      <c r="G33">
        <f>COUNTIF(LAYOUT!$A$1:$O$100,C33)</f>
        <v>1</v>
      </c>
      <c r="H33">
        <f t="shared" si="0"/>
        <v>1</v>
      </c>
    </row>
    <row r="34" spans="1:8" x14ac:dyDescent="0.25">
      <c r="A34" t="s">
        <v>123</v>
      </c>
      <c r="B34" t="s">
        <v>177</v>
      </c>
      <c r="C34" t="s">
        <v>31</v>
      </c>
      <c r="D34" t="s">
        <v>125</v>
      </c>
      <c r="E34" t="s">
        <v>178</v>
      </c>
      <c r="F34">
        <f>COUNTIF(LAYOUT!$A$1:$O$100,B34)</f>
        <v>0</v>
      </c>
      <c r="G34">
        <f>COUNTIF(LAYOUT!$A$1:$O$100,C34)</f>
        <v>1</v>
      </c>
      <c r="H34">
        <f t="shared" si="0"/>
        <v>1</v>
      </c>
    </row>
    <row r="35" spans="1:8" x14ac:dyDescent="0.25">
      <c r="A35" t="s">
        <v>123</v>
      </c>
      <c r="B35" t="s">
        <v>179</v>
      </c>
      <c r="C35" t="s">
        <v>32</v>
      </c>
      <c r="D35" t="s">
        <v>125</v>
      </c>
      <c r="E35" t="s">
        <v>180</v>
      </c>
      <c r="F35">
        <f>COUNTIF(LAYOUT!$A$1:$O$100,B35)</f>
        <v>0</v>
      </c>
      <c r="G35">
        <f>COUNTIF(LAYOUT!$A$1:$O$100,C35)</f>
        <v>1</v>
      </c>
      <c r="H35">
        <f t="shared" si="0"/>
        <v>1</v>
      </c>
    </row>
    <row r="36" spans="1:8" x14ac:dyDescent="0.25">
      <c r="A36" t="s">
        <v>123</v>
      </c>
      <c r="B36" t="s">
        <v>181</v>
      </c>
      <c r="C36" t="s">
        <v>33</v>
      </c>
      <c r="D36" t="s">
        <v>125</v>
      </c>
      <c r="E36" t="s">
        <v>182</v>
      </c>
      <c r="F36">
        <f>COUNTIF(LAYOUT!$A$1:$O$100,B36)</f>
        <v>0</v>
      </c>
      <c r="G36">
        <f>COUNTIF(LAYOUT!$A$1:$O$100,C36)</f>
        <v>1</v>
      </c>
      <c r="H36">
        <f t="shared" si="0"/>
        <v>1</v>
      </c>
    </row>
    <row r="37" spans="1:8" x14ac:dyDescent="0.25">
      <c r="A37" t="s">
        <v>123</v>
      </c>
      <c r="B37" t="s">
        <v>183</v>
      </c>
      <c r="C37" t="s">
        <v>34</v>
      </c>
      <c r="D37" t="s">
        <v>125</v>
      </c>
      <c r="E37" t="s">
        <v>184</v>
      </c>
      <c r="F37">
        <f>COUNTIF(LAYOUT!$A$1:$O$100,B37)</f>
        <v>0</v>
      </c>
      <c r="G37">
        <f>COUNTIF(LAYOUT!$A$1:$O$100,C37)</f>
        <v>1</v>
      </c>
      <c r="H37">
        <f t="shared" si="0"/>
        <v>1</v>
      </c>
    </row>
    <row r="38" spans="1:8" x14ac:dyDescent="0.25">
      <c r="A38" t="s">
        <v>123</v>
      </c>
      <c r="B38" t="s">
        <v>35</v>
      </c>
      <c r="C38" t="s">
        <v>185</v>
      </c>
      <c r="D38" t="s">
        <v>125</v>
      </c>
      <c r="E38" t="s">
        <v>186</v>
      </c>
      <c r="F38">
        <f>COUNTIF(LAYOUT!$A$1:$O$100,B38)</f>
        <v>1</v>
      </c>
      <c r="G38">
        <f>COUNTIF(LAYOUT!$A$1:$O$100,C38)</f>
        <v>0</v>
      </c>
      <c r="H38">
        <f t="shared" si="0"/>
        <v>1</v>
      </c>
    </row>
    <row r="39" spans="1:8" x14ac:dyDescent="0.25">
      <c r="A39" t="s">
        <v>123</v>
      </c>
      <c r="B39" t="s">
        <v>187</v>
      </c>
      <c r="C39" t="s">
        <v>188</v>
      </c>
      <c r="D39" t="s">
        <v>125</v>
      </c>
      <c r="E39" t="s">
        <v>189</v>
      </c>
      <c r="F39">
        <f>COUNTIF(LAYOUT!$A$1:$O$100,B39)</f>
        <v>0</v>
      </c>
      <c r="G39">
        <f>COUNTIF(LAYOUT!$A$1:$O$100,C39)</f>
        <v>0</v>
      </c>
      <c r="H39">
        <f t="shared" si="0"/>
        <v>0</v>
      </c>
    </row>
    <row r="40" spans="1:8" x14ac:dyDescent="0.25">
      <c r="A40" t="s">
        <v>123</v>
      </c>
      <c r="B40" t="s">
        <v>86</v>
      </c>
      <c r="C40" t="s">
        <v>190</v>
      </c>
      <c r="D40" t="s">
        <v>125</v>
      </c>
      <c r="E40" t="s">
        <v>191</v>
      </c>
      <c r="F40">
        <f>COUNTIF(LAYOUT!$A$1:$O$100,B40)</f>
        <v>1</v>
      </c>
      <c r="G40">
        <f>COUNTIF(LAYOUT!$A$1:$O$100,C40)</f>
        <v>0</v>
      </c>
      <c r="H40">
        <f t="shared" si="0"/>
        <v>1</v>
      </c>
    </row>
    <row r="41" spans="1:8" x14ac:dyDescent="0.25">
      <c r="A41" t="s">
        <v>122</v>
      </c>
    </row>
    <row r="42" spans="1:8" x14ac:dyDescent="0.25">
      <c r="A42" t="s">
        <v>123</v>
      </c>
      <c r="B42" t="s">
        <v>63</v>
      </c>
      <c r="C42" t="s">
        <v>192</v>
      </c>
      <c r="D42" t="s">
        <v>125</v>
      </c>
      <c r="E42" t="s">
        <v>193</v>
      </c>
      <c r="F42">
        <f>COUNTIF(LAYOUT!$A$1:$O$100,B42)</f>
        <v>1</v>
      </c>
      <c r="G42">
        <f>COUNTIF(LAYOUT!$A$1:$O$100,C42)</f>
        <v>0</v>
      </c>
      <c r="H42">
        <f t="shared" si="0"/>
        <v>1</v>
      </c>
    </row>
    <row r="43" spans="1:8" x14ac:dyDescent="0.25">
      <c r="A43" t="s">
        <v>123</v>
      </c>
      <c r="B43" t="s">
        <v>36</v>
      </c>
      <c r="C43" t="s">
        <v>194</v>
      </c>
      <c r="D43" t="s">
        <v>125</v>
      </c>
      <c r="E43" t="s">
        <v>195</v>
      </c>
      <c r="F43">
        <f>COUNTIF(LAYOUT!$A$1:$O$100,B43)</f>
        <v>1</v>
      </c>
      <c r="G43">
        <f>COUNTIF(LAYOUT!$A$1:$O$100,C43)</f>
        <v>0</v>
      </c>
      <c r="H43">
        <f t="shared" si="0"/>
        <v>1</v>
      </c>
    </row>
    <row r="44" spans="1:8" x14ac:dyDescent="0.25">
      <c r="A44" t="s">
        <v>123</v>
      </c>
      <c r="B44" t="s">
        <v>196</v>
      </c>
      <c r="C44" t="s">
        <v>37</v>
      </c>
      <c r="D44" t="s">
        <v>125</v>
      </c>
      <c r="E44" t="s">
        <v>197</v>
      </c>
      <c r="F44">
        <f>COUNTIF(LAYOUT!$A$1:$O$100,B44)</f>
        <v>0</v>
      </c>
      <c r="G44">
        <f>COUNTIF(LAYOUT!$A$1:$O$100,C44)</f>
        <v>1</v>
      </c>
      <c r="H44">
        <f t="shared" si="0"/>
        <v>1</v>
      </c>
    </row>
    <row r="45" spans="1:8" x14ac:dyDescent="0.25">
      <c r="A45" t="s">
        <v>123</v>
      </c>
      <c r="B45" t="s">
        <v>198</v>
      </c>
      <c r="C45" t="s">
        <v>38</v>
      </c>
      <c r="D45" t="s">
        <v>125</v>
      </c>
      <c r="E45" t="s">
        <v>199</v>
      </c>
      <c r="F45">
        <f>COUNTIF(LAYOUT!$A$1:$O$100,B45)</f>
        <v>0</v>
      </c>
      <c r="G45">
        <f>COUNTIF(LAYOUT!$A$1:$O$100,C45)</f>
        <v>1</v>
      </c>
      <c r="H45">
        <f t="shared" si="0"/>
        <v>1</v>
      </c>
    </row>
    <row r="46" spans="1:8" x14ac:dyDescent="0.25">
      <c r="A46" t="s">
        <v>123</v>
      </c>
      <c r="B46" t="s">
        <v>200</v>
      </c>
      <c r="C46" t="s">
        <v>39</v>
      </c>
      <c r="D46" t="s">
        <v>125</v>
      </c>
      <c r="E46" t="s">
        <v>201</v>
      </c>
      <c r="F46">
        <f>COUNTIF(LAYOUT!$A$1:$O$100,B46)</f>
        <v>0</v>
      </c>
      <c r="G46">
        <f>COUNTIF(LAYOUT!$A$1:$O$100,C46)</f>
        <v>1</v>
      </c>
      <c r="H46">
        <f t="shared" si="0"/>
        <v>1</v>
      </c>
    </row>
    <row r="47" spans="1:8" x14ac:dyDescent="0.25">
      <c r="A47" t="s">
        <v>123</v>
      </c>
      <c r="B47" t="s">
        <v>202</v>
      </c>
      <c r="C47" t="s">
        <v>40</v>
      </c>
      <c r="D47" t="s">
        <v>125</v>
      </c>
      <c r="E47" t="s">
        <v>203</v>
      </c>
      <c r="F47">
        <f>COUNTIF(LAYOUT!$A$1:$O$100,B47)</f>
        <v>0</v>
      </c>
      <c r="G47">
        <f>COUNTIF(LAYOUT!$A$1:$O$100,C47)</f>
        <v>1</v>
      </c>
      <c r="H47">
        <f t="shared" si="0"/>
        <v>1</v>
      </c>
    </row>
    <row r="48" spans="1:8" x14ac:dyDescent="0.25">
      <c r="A48" t="s">
        <v>123</v>
      </c>
      <c r="B48" t="s">
        <v>204</v>
      </c>
      <c r="C48" t="s">
        <v>42</v>
      </c>
      <c r="D48" t="s">
        <v>125</v>
      </c>
      <c r="E48" t="s">
        <v>205</v>
      </c>
      <c r="F48">
        <f>COUNTIF(LAYOUT!$A$1:$O$100,B48)</f>
        <v>0</v>
      </c>
      <c r="G48">
        <f>COUNTIF(LAYOUT!$A$1:$O$100,C48)</f>
        <v>1</v>
      </c>
      <c r="H48">
        <f t="shared" si="0"/>
        <v>1</v>
      </c>
    </row>
    <row r="49" spans="1:8" x14ac:dyDescent="0.25">
      <c r="A49" t="s">
        <v>123</v>
      </c>
      <c r="B49" t="s">
        <v>43</v>
      </c>
      <c r="C49" t="s">
        <v>206</v>
      </c>
      <c r="D49" t="s">
        <v>125</v>
      </c>
      <c r="E49" t="s">
        <v>207</v>
      </c>
      <c r="F49">
        <f>COUNTIF(LAYOUT!$A$1:$O$100,B49)</f>
        <v>1</v>
      </c>
      <c r="G49">
        <f>COUNTIF(LAYOUT!$A$1:$O$100,C49)</f>
        <v>0</v>
      </c>
      <c r="H49">
        <f t="shared" si="0"/>
        <v>1</v>
      </c>
    </row>
    <row r="50" spans="1:8" x14ac:dyDescent="0.25">
      <c r="A50" t="s">
        <v>123</v>
      </c>
      <c r="B50" t="s">
        <v>44</v>
      </c>
      <c r="C50" t="s">
        <v>208</v>
      </c>
      <c r="D50" t="s">
        <v>125</v>
      </c>
      <c r="E50" t="s">
        <v>209</v>
      </c>
      <c r="F50">
        <f>COUNTIF(LAYOUT!$A$1:$O$100,B50)</f>
        <v>1</v>
      </c>
      <c r="G50">
        <f>COUNTIF(LAYOUT!$A$1:$O$100,C50)</f>
        <v>0</v>
      </c>
      <c r="H50">
        <f t="shared" si="0"/>
        <v>1</v>
      </c>
    </row>
    <row r="51" spans="1:8" x14ac:dyDescent="0.25">
      <c r="A51" t="s">
        <v>123</v>
      </c>
      <c r="B51" t="s">
        <v>45</v>
      </c>
      <c r="C51" t="s">
        <v>210</v>
      </c>
      <c r="D51" t="s">
        <v>125</v>
      </c>
      <c r="E51" t="s">
        <v>211</v>
      </c>
      <c r="F51">
        <f>COUNTIF(LAYOUT!$A$1:$O$100,B51)</f>
        <v>1</v>
      </c>
      <c r="G51">
        <f>COUNTIF(LAYOUT!$A$1:$O$100,C51)</f>
        <v>0</v>
      </c>
      <c r="H51">
        <f t="shared" si="0"/>
        <v>1</v>
      </c>
    </row>
    <row r="52" spans="1:8" x14ac:dyDescent="0.25">
      <c r="A52" t="s">
        <v>123</v>
      </c>
      <c r="B52" t="s">
        <v>50</v>
      </c>
      <c r="C52" t="s">
        <v>212</v>
      </c>
      <c r="D52" t="s">
        <v>125</v>
      </c>
      <c r="E52" t="s">
        <v>213</v>
      </c>
      <c r="F52">
        <f>COUNTIF(LAYOUT!$A$1:$O$100,B52)</f>
        <v>1</v>
      </c>
      <c r="G52">
        <f>COUNTIF(LAYOUT!$A$1:$O$100,C52)</f>
        <v>0</v>
      </c>
      <c r="H52">
        <f t="shared" si="0"/>
        <v>1</v>
      </c>
    </row>
  </sheetData>
  <conditionalFormatting sqref="B2:B14 B16:B27 B29:B40 B42:B52">
    <cfRule type="expression" dxfId="25" priority="1">
      <formula>H2&gt;1</formula>
    </cfRule>
    <cfRule type="expression" dxfId="24" priority="2">
      <formula>H2=0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LAYOUT</vt:lpstr>
      <vt:lpstr>AZERTY REF</vt:lpstr>
      <vt:lpstr>OUTPUT_FILE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Fabrice MONNIER</dc:creator>
  <cp:lastModifiedBy>Fabrice MONNIER</cp:lastModifiedBy>
  <dcterms:created xsi:type="dcterms:W3CDTF">2020-05-26T10:29:46Z</dcterms:created>
  <dcterms:modified xsi:type="dcterms:W3CDTF">2020-06-07T19:44:55Z</dcterms:modified>
</cp:coreProperties>
</file>